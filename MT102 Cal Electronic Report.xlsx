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librator\CoilDriver\"/>
    </mc:Choice>
  </mc:AlternateContent>
  <xr:revisionPtr revIDLastSave="0" documentId="13_ncr:1_{85C1D723-EC45-48D0-A364-9E2C970C6CFC}" xr6:coauthVersionLast="47" xr6:coauthVersionMax="47" xr10:uidLastSave="{00000000-0000-0000-0000-000000000000}"/>
  <bookViews>
    <workbookView xWindow="47955" yWindow="1005" windowWidth="30720" windowHeight="17895" xr2:uid="{00000000-000D-0000-FFFF-FFFF00000000}"/>
  </bookViews>
  <sheets>
    <sheet name="Report" sheetId="1" r:id="rId1"/>
    <sheet name="P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2" l="1"/>
  <c r="I81" i="2"/>
  <c r="H81" i="2"/>
  <c r="J80" i="2"/>
  <c r="I80" i="2"/>
  <c r="H80" i="2"/>
  <c r="E82" i="2"/>
  <c r="D82" i="2"/>
  <c r="A82" i="2"/>
  <c r="E81" i="2"/>
  <c r="D81" i="2"/>
  <c r="A81" i="2"/>
  <c r="E80" i="2"/>
  <c r="D80" i="2"/>
  <c r="A80" i="2"/>
  <c r="M51" i="2"/>
  <c r="L51" i="2"/>
  <c r="K51" i="2"/>
  <c r="J51" i="2"/>
  <c r="I51" i="2"/>
  <c r="H51" i="2"/>
  <c r="M50" i="2"/>
  <c r="L50" i="2"/>
  <c r="K50" i="2"/>
  <c r="J50" i="2"/>
  <c r="I50" i="2"/>
  <c r="H50" i="2"/>
  <c r="M49" i="2"/>
  <c r="L49" i="2"/>
  <c r="K49" i="2"/>
  <c r="J49" i="2"/>
  <c r="I49" i="2"/>
  <c r="H49" i="2"/>
  <c r="M48" i="2"/>
  <c r="L48" i="2"/>
  <c r="K48" i="2"/>
  <c r="J48" i="2"/>
  <c r="I48" i="2"/>
  <c r="H48" i="2"/>
  <c r="E59" i="2"/>
  <c r="D59" i="2"/>
  <c r="A59" i="2"/>
  <c r="E58" i="2"/>
  <c r="D58" i="2"/>
  <c r="A58" i="2"/>
  <c r="E57" i="2"/>
  <c r="D57" i="2"/>
  <c r="A57" i="2"/>
  <c r="E56" i="2"/>
  <c r="D56" i="2"/>
  <c r="A56" i="2"/>
  <c r="E55" i="2"/>
  <c r="D55" i="2"/>
  <c r="A55" i="2"/>
  <c r="E54" i="2"/>
  <c r="D54" i="2"/>
  <c r="A54" i="2"/>
  <c r="E53" i="2"/>
  <c r="D53" i="2"/>
  <c r="A53" i="2"/>
  <c r="E52" i="2"/>
  <c r="D52" i="2"/>
  <c r="A52" i="2"/>
  <c r="E51" i="2"/>
  <c r="D51" i="2"/>
  <c r="A51" i="2"/>
  <c r="E50" i="2"/>
  <c r="D50" i="2"/>
  <c r="A50" i="2"/>
  <c r="E49" i="2"/>
  <c r="D49" i="2"/>
  <c r="A49" i="2"/>
  <c r="E48" i="2"/>
  <c r="D48" i="2"/>
  <c r="A48" i="2"/>
  <c r="M21" i="2"/>
  <c r="L21" i="2"/>
  <c r="K21" i="2"/>
  <c r="J21" i="2"/>
  <c r="I21" i="2"/>
  <c r="H21" i="2"/>
  <c r="M20" i="2"/>
  <c r="L20" i="2"/>
  <c r="K20" i="2"/>
  <c r="J20" i="2"/>
  <c r="I20" i="2"/>
  <c r="H20" i="2"/>
  <c r="M19" i="2"/>
  <c r="L19" i="2"/>
  <c r="K19" i="2"/>
  <c r="J19" i="2"/>
  <c r="I19" i="2"/>
  <c r="H19" i="2"/>
  <c r="E27" i="2"/>
  <c r="D27" i="2"/>
  <c r="A27" i="2"/>
  <c r="E26" i="2"/>
  <c r="D26" i="2"/>
  <c r="A26" i="2"/>
  <c r="E25" i="2"/>
  <c r="D25" i="2"/>
  <c r="A25" i="2"/>
  <c r="E24" i="2"/>
  <c r="D24" i="2"/>
  <c r="A24" i="2"/>
  <c r="E23" i="2"/>
  <c r="D23" i="2"/>
  <c r="A23" i="2"/>
  <c r="E22" i="2"/>
  <c r="D22" i="2"/>
  <c r="A22" i="2"/>
  <c r="E21" i="2"/>
  <c r="D21" i="2"/>
  <c r="A21" i="2"/>
  <c r="E20" i="2"/>
  <c r="D20" i="2"/>
  <c r="A20" i="2"/>
  <c r="E19" i="2"/>
  <c r="D19" i="2"/>
  <c r="A19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<sst xmlns="http://schemas.openxmlformats.org/spreadsheetml/2006/main" count="173" uniqueCount="106">
  <si>
    <t>Serial Num</t>
  </si>
  <si>
    <t>Calibration SW Ver</t>
  </si>
  <si>
    <t>Cal Data File Ver</t>
  </si>
  <si>
    <t>Mag SW Ver</t>
  </si>
  <si>
    <t>Date</t>
  </si>
  <si>
    <t>Time</t>
  </si>
  <si>
    <t>2.0.0.0</t>
  </si>
  <si>
    <t>Step</t>
  </si>
  <si>
    <t>Description</t>
  </si>
  <si>
    <t>Axis</t>
  </si>
  <si>
    <t>Offset</t>
  </si>
  <si>
    <t>ScaleFactor</t>
  </si>
  <si>
    <t>Desired</t>
  </si>
  <si>
    <t>Actual</t>
  </si>
  <si>
    <t>Tolerance</t>
  </si>
  <si>
    <t>Retries</t>
  </si>
  <si>
    <t>Pass</t>
  </si>
  <si>
    <t>Fail</t>
  </si>
  <si>
    <t>Xm,XrYm, Yr.(Zm,</t>
  </si>
  <si>
    <t>Xm, Yr),Ym,-Xr,Zm</t>
  </si>
  <si>
    <t>(Xm,Xr),Ym,-Yr,(Zm,</t>
  </si>
  <si>
    <t>(Xm,Yr,Ym, XrZm,</t>
  </si>
  <si>
    <t>Xm, Xr,Ym,Yr,</t>
  </si>
  <si>
    <t>(Xm, Yr,(Ym, Xr,</t>
  </si>
  <si>
    <t>(Xm-Xr, (Ym,Yr,f</t>
  </si>
  <si>
    <t>(Xm,-Yr), (Ym,-Xr 1, (</t>
  </si>
  <si>
    <t>(Xm,XrYm,Zr</t>
  </si>
  <si>
    <t>(Xm, Yr , f Ym, Zr), ( Zm</t>
  </si>
  <si>
    <t>(Xm,-Xr ), f Ym, Zr 3, ( Zm,</t>
  </si>
  <si>
    <t>(Xm,-Yr,  Ym, Zr , (</t>
  </si>
  <si>
    <t>( Xm, Xr), (Ym,-Zr , ( Zm,</t>
  </si>
  <si>
    <t>(Xm, Yr), (Ym,-Zr, (</t>
  </si>
  <si>
    <t>Xm-XrYm,-Zr,</t>
  </si>
  <si>
    <t>(Xm-Yr,Ym,-Zr,(Zm,</t>
  </si>
  <si>
    <t>Xm,Zr,Ym,Yr,</t>
  </si>
  <si>
    <t>(Xm,Zr,Ym,-Xr</t>
  </si>
  <si>
    <t>I Xm, Zr 1, I Ym,-Yr I, f Zm</t>
  </si>
  <si>
    <t>Xm,Zr,Ym,Xr,Zm,</t>
  </si>
  <si>
    <t>Xm,-Zr,(Ym,Yri,Zm,</t>
  </si>
  <si>
    <t>Xm,-Zr , ( Ym,-Xr1, ( Zm,</t>
  </si>
  <si>
    <t>( Xm,-Zr l, ( Ym,-Yr I, t</t>
  </si>
  <si>
    <t>Xm-ZrYm,Xr</t>
  </si>
  <si>
    <t>Test Offset</t>
  </si>
  <si>
    <t>sxx</t>
  </si>
  <si>
    <t>xx</t>
  </si>
  <si>
    <t>sxy</t>
  </si>
  <si>
    <t>XY</t>
  </si>
  <si>
    <t>sxz</t>
  </si>
  <si>
    <t>syx</t>
  </si>
  <si>
    <t>X</t>
  </si>
  <si>
    <t>syy</t>
  </si>
  <si>
    <t>syz</t>
  </si>
  <si>
    <t>szx</t>
  </si>
  <si>
    <t>szy</t>
  </si>
  <si>
    <t>zy</t>
  </si>
  <si>
    <t>szz</t>
  </si>
  <si>
    <t>Calculating cardinal orentation</t>
  </si>
  <si>
    <t>xsd</t>
  </si>
  <si>
    <t>ysd</t>
  </si>
  <si>
    <t>zsd</t>
  </si>
  <si>
    <t>exx</t>
  </si>
  <si>
    <t>exy</t>
  </si>
  <si>
    <t>exz</t>
  </si>
  <si>
    <t>eyx</t>
  </si>
  <si>
    <t>eyy</t>
  </si>
  <si>
    <t>eyz</t>
  </si>
  <si>
    <t>ezx</t>
  </si>
  <si>
    <t>ezy</t>
  </si>
  <si>
    <t>ezz</t>
  </si>
  <si>
    <t>chisqr_x</t>
  </si>
  <si>
    <t>chisqr_y</t>
  </si>
  <si>
    <t>chisqr_z</t>
  </si>
  <si>
    <t>Calculating Offsets and CalculatingScale Factors</t>
  </si>
  <si>
    <t>XX</t>
  </si>
  <si>
    <t>Scale Factors Data</t>
  </si>
  <si>
    <t>Label</t>
  </si>
  <si>
    <t>Axis Group</t>
  </si>
  <si>
    <t>Component</t>
  </si>
  <si>
    <t>Cardinal Orientation Data</t>
  </si>
  <si>
    <t>Chi-Square Data</t>
  </si>
  <si>
    <t>Scale Factors Chart Data</t>
  </si>
  <si>
    <t>X ScaleFactor</t>
  </si>
  <si>
    <t>X Actual</t>
  </si>
  <si>
    <t>Y ScaleFactor</t>
  </si>
  <si>
    <t>Y Actual</t>
  </si>
  <si>
    <t>Z ScaleFactor</t>
  </si>
  <si>
    <t>Z Actual</t>
  </si>
  <si>
    <t>Cardinal Orientation Chart Data</t>
  </si>
  <si>
    <t>Chi-Square Chart Data</t>
  </si>
  <si>
    <t>Measure</t>
  </si>
  <si>
    <t>Y</t>
  </si>
  <si>
    <t>Z</t>
  </si>
  <si>
    <t>xy</t>
  </si>
  <si>
    <t>xz</t>
  </si>
  <si>
    <t>yx</t>
  </si>
  <si>
    <t>yy</t>
  </si>
  <si>
    <t>yz</t>
  </si>
  <si>
    <t>zx</t>
  </si>
  <si>
    <t>zz</t>
  </si>
  <si>
    <t>s_x</t>
  </si>
  <si>
    <t>s_y</t>
  </si>
  <si>
    <t>s_z</t>
  </si>
  <si>
    <t>sd</t>
  </si>
  <si>
    <t>e_x</t>
  </si>
  <si>
    <t>e_y</t>
  </si>
  <si>
    <t>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</si>
</sst>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 applyAlignment="1">
      <alignment horizontal="center"/>
    </xf>
    <xf numFmtId="0" fontId="1" fillId="2" borderId="0" xfId="0" applyFont="1" applyFill="1" applyAlignment="1"/>
    <xf numFmtId="0" fontId="0" fillId="0" borderId="0" xfId="0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Scale Factors by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Plot!$H$18</c:f>
              <c:strCache>
                <c:ptCount val="1"/>
                <c:pt idx="0">
                  <c:v>X ScaleFactor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Plot!$H$19:$H$21</c:f>
              <c:numCache>
                <c:formatCode>General</c:formatCode>
                <c:ptCount val="3"/>
                <c:pt idx="0">
                  <c:v>0</c:v>
                </c:pt>
                <c:pt idx="1">
                  <c:v>-4.9729999999999999</c:v>
                </c:pt>
                <c:pt idx="2">
                  <c:v>-0.63600000000000001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D-459F-B1F3-399ADCCAF11B}"/>
            </c:ext>
          </c:extLst>
        </c:ser>
        <c:ser>
          <c:idx val="1"/>
          <c:order val="1"/>
          <c:tx>
            <c:strRef>
              <c:f>Plot!$I$18</c:f>
              <c:strCache>
                <c:ptCount val="1"/>
                <c:pt idx="0">
                  <c:v>X Actual</c:v>
                </c:pt>
              </c:strCache>
            </c:strRef>
          </c:tx>
          <c:spPr>
            <a:ln w="28575" cap="rnd">
              <a:solidFill>
                <a:srgbClr val="FF66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Plot!$I$19:$I$21</c:f>
              <c:numCache>
                <c:formatCode>General</c:formatCode>
                <c:ptCount val="3"/>
                <c:pt idx="0">
                  <c:v>10</c:v>
                </c:pt>
                <c:pt idx="1">
                  <c:v>5.0270000000000001</c:v>
                </c:pt>
                <c:pt idx="2">
                  <c:v>9.3640000000000008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D-459F-B1F3-399ADCCAF11B}"/>
            </c:ext>
          </c:extLst>
        </c:ser>
        <c:ser>
          <c:idx val="2"/>
          <c:order val="2"/>
          <c:tx>
            <c:strRef>
              <c:f>Plot!$J$18</c:f>
              <c:strCache>
                <c:ptCount val="1"/>
                <c:pt idx="0">
                  <c:v>Y ScaleFactor</c:v>
                </c:pt>
              </c:strCache>
            </c:strRef>
          </c:tx>
          <c:spPr>
            <a:ln w="28575" cap="rnd">
              <a:solidFill>
                <a:srgbClr val="00AA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Plot!$J$19:$J$21</c:f>
              <c:numCache>
                <c:formatCode>General</c:formatCode>
                <c:ptCount val="3"/>
                <c:pt idx="0">
                  <c:v>-5.2619999999999996</c:v>
                </c:pt>
                <c:pt idx="1">
                  <c:v>2.0430000000000001</c:v>
                </c:pt>
                <c:pt idx="2">
                  <c:v>-0.94299999999999995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D-459F-B1F3-399ADCCAF11B}"/>
            </c:ext>
          </c:extLst>
        </c:ser>
        <c:ser>
          <c:idx val="3"/>
          <c:order val="3"/>
          <c:tx>
            <c:strRef>
              <c:f>Plot!$K$18</c:f>
              <c:strCache>
                <c:ptCount val="1"/>
                <c:pt idx="0">
                  <c:v>Y Actual</c:v>
                </c:pt>
              </c:strCache>
            </c:strRef>
          </c:tx>
          <c:spPr>
            <a:ln w="28575" cap="rnd">
              <a:solidFill>
                <a:srgbClr val="66CC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Plot!$K$19:$K$21</c:f>
              <c:numCache>
                <c:formatCode>General</c:formatCode>
                <c:ptCount val="3"/>
                <c:pt idx="0">
                  <c:v>4.7380000000000004</c:v>
                </c:pt>
                <c:pt idx="1">
                  <c:v>7.9569999999999999</c:v>
                </c:pt>
                <c:pt idx="2">
                  <c:v>9.0570000000000004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0D-459F-B1F3-399ADCCAF11B}"/>
            </c:ext>
          </c:extLst>
        </c:ser>
        <c:ser>
          <c:idx val="4"/>
          <c:order val="4"/>
          <c:tx>
            <c:strRef>
              <c:f>Plot!$L$18</c:f>
              <c:strCache>
                <c:ptCount val="1"/>
                <c:pt idx="0">
                  <c:v>Z ScaleFactor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Plot!$L$19:$L$21</c:f>
              <c:numCache>
                <c:formatCode>General</c:formatCode>
                <c:ptCount val="3"/>
                <c:pt idx="0">
                  <c:v>0.89400000000000002</c:v>
                </c:pt>
                <c:pt idx="1">
                  <c:v>-3.4340000000000002</c:v>
                </c:pt>
                <c:pt idx="2">
                  <c:v>0.189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0D-459F-B1F3-399ADCCAF11B}"/>
            </c:ext>
          </c:extLst>
        </c:ser>
        <c:ser>
          <c:idx val="5"/>
          <c:order val="5"/>
          <c:tx>
            <c:strRef>
              <c:f>Plot!$M$18</c:f>
              <c:strCache>
                <c:ptCount val="1"/>
                <c:pt idx="0">
                  <c:v>Z Actual</c:v>
                </c:pt>
              </c:strCache>
            </c:strRef>
          </c:tx>
          <c:spPr>
            <a:ln w="28575" cap="rnd">
              <a:solidFill>
                <a:srgbClr val="6666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Plot!$G$19:$G$21</c:f>
              <c:strCache>
                <c:ptCount val="3"/>
                <c:pt idx="0">
                  <c:v>s_x</c:v>
                </c:pt>
                <c:pt idx="1">
                  <c:v>s_y</c:v>
                </c:pt>
                <c:pt idx="2">
                  <c:v>s_z</c:v>
                </c:pt>
              </c:strCache>
            </c:strRef>
          </c:cat>
          <c:val>
            <c:numRef>
              <c:f>Plot!$M$19:$M$21</c:f>
              <c:numCache>
                <c:formatCode>General</c:formatCode>
                <c:ptCount val="3"/>
                <c:pt idx="0">
                  <c:v>9.1059999999999999</c:v>
                </c:pt>
                <c:pt idx="1">
                  <c:v>6.5659999999999998</c:v>
                </c:pt>
                <c:pt idx="2">
                  <c:v>9.8109999999999999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0D-459F-B1F3-399ADCCA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284255"/>
        <c:axId val="684285215"/>
      </c:lineChart>
      <c:catAx>
        <c:axId val="6842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85215"/>
        <c:crosses val="autoZero"/>
        <c:auto val="1"/>
        <c:lblAlgn val="ctr"/>
        <c:lblOffset val="100"/>
        <c:noMultiLvlLbl val="0"/>
      </c:catAx>
      <c:valAx>
        <c:axId val="68428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Cardinal Orientation by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Plot!$H$47</c:f>
              <c:strCache>
                <c:ptCount val="1"/>
                <c:pt idx="0">
                  <c:v>X ScaleFactor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Plot!$H$48:$H$51</c:f>
              <c:numCache>
                <c:formatCode>General</c:formatCode>
                <c:ptCount val="4"/>
                <c:pt idx="0">
                  <c:v>19.949000000000002</c:v>
                </c:pt>
                <c:pt idx="1">
                  <c:v>50.220999999999997</c:v>
                </c:pt>
                <c:pt idx="2">
                  <c:v>31.420999999999999</c:v>
                </c:pt>
                <c:pt idx="3">
                  <c:v>74.768000000000001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B-459E-9614-5CE8E1B8C0A1}"/>
            </c:ext>
          </c:extLst>
        </c:ser>
        <c:ser>
          <c:idx val="1"/>
          <c:order val="1"/>
          <c:tx>
            <c:strRef>
              <c:f>Plot!$I$47</c:f>
              <c:strCache>
                <c:ptCount val="1"/>
                <c:pt idx="0">
                  <c:v>X Actual</c:v>
                </c:pt>
              </c:strCache>
            </c:strRef>
          </c:tx>
          <c:spPr>
            <a:ln w="28575" cap="rnd">
              <a:solidFill>
                <a:srgbClr val="FF66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Plot!$I$48:$I$51</c:f>
              <c:numCache>
                <c:formatCode>General</c:formatCode>
                <c:ptCount val="4"/>
                <c:pt idx="0">
                  <c:v>180.05099999999999</c:v>
                </c:pt>
                <c:pt idx="1">
                  <c:v>149.779</c:v>
                </c:pt>
                <c:pt idx="2">
                  <c:v>168.57900000000001</c:v>
                </c:pt>
                <c:pt idx="3">
                  <c:v>125.232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B-459E-9614-5CE8E1B8C0A1}"/>
            </c:ext>
          </c:extLst>
        </c:ser>
        <c:ser>
          <c:idx val="2"/>
          <c:order val="2"/>
          <c:tx>
            <c:strRef>
              <c:f>Plot!$J$47</c:f>
              <c:strCache>
                <c:ptCount val="1"/>
                <c:pt idx="0">
                  <c:v>Y ScaleFactor</c:v>
                </c:pt>
              </c:strCache>
            </c:strRef>
          </c:tx>
          <c:spPr>
            <a:ln w="28575" cap="rnd">
              <a:solidFill>
                <a:srgbClr val="00AA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Plot!$J$48:$J$51</c:f>
              <c:numCache>
                <c:formatCode>General</c:formatCode>
                <c:ptCount val="4"/>
                <c:pt idx="0">
                  <c:v>27.393999999999998</c:v>
                </c:pt>
                <c:pt idx="1">
                  <c:v>40.435000000000002</c:v>
                </c:pt>
                <c:pt idx="2">
                  <c:v>36.774000000000001</c:v>
                </c:pt>
                <c:pt idx="3">
                  <c:v>92.953999999999994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B-459E-9614-5CE8E1B8C0A1}"/>
            </c:ext>
          </c:extLst>
        </c:ser>
        <c:ser>
          <c:idx val="3"/>
          <c:order val="3"/>
          <c:tx>
            <c:strRef>
              <c:f>Plot!$K$47</c:f>
              <c:strCache>
                <c:ptCount val="1"/>
                <c:pt idx="0">
                  <c:v>Y Actual</c:v>
                </c:pt>
              </c:strCache>
            </c:strRef>
          </c:tx>
          <c:spPr>
            <a:ln w="28575" cap="rnd">
              <a:solidFill>
                <a:srgbClr val="66CC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Plot!$K$48:$K$51</c:f>
              <c:numCache>
                <c:formatCode>General</c:formatCode>
                <c:ptCount val="4"/>
                <c:pt idx="0">
                  <c:v>172.60599999999999</c:v>
                </c:pt>
                <c:pt idx="1">
                  <c:v>159.565</c:v>
                </c:pt>
                <c:pt idx="2">
                  <c:v>163.226</c:v>
                </c:pt>
                <c:pt idx="3">
                  <c:v>107.04600000000001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B-459E-9614-5CE8E1B8C0A1}"/>
            </c:ext>
          </c:extLst>
        </c:ser>
        <c:ser>
          <c:idx val="4"/>
          <c:order val="4"/>
          <c:tx>
            <c:strRef>
              <c:f>Plot!$L$47</c:f>
              <c:strCache>
                <c:ptCount val="1"/>
                <c:pt idx="0">
                  <c:v>Z ScaleFactor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Plot!$L$48:$L$51</c:f>
              <c:numCache>
                <c:formatCode>General</c:formatCode>
                <c:ptCount val="4"/>
                <c:pt idx="0">
                  <c:v>18.202000000000002</c:v>
                </c:pt>
                <c:pt idx="1">
                  <c:v>72.275999999999996</c:v>
                </c:pt>
                <c:pt idx="2">
                  <c:v>82.063999999999993</c:v>
                </c:pt>
                <c:pt idx="3">
                  <c:v>48.554000000000002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3B-459E-9614-5CE8E1B8C0A1}"/>
            </c:ext>
          </c:extLst>
        </c:ser>
        <c:ser>
          <c:idx val="5"/>
          <c:order val="5"/>
          <c:tx>
            <c:strRef>
              <c:f>Plot!$M$47</c:f>
              <c:strCache>
                <c:ptCount val="1"/>
                <c:pt idx="0">
                  <c:v>Z Actual</c:v>
                </c:pt>
              </c:strCache>
            </c:strRef>
          </c:tx>
          <c:spPr>
            <a:ln w="28575" cap="rnd">
              <a:solidFill>
                <a:srgbClr val="6666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Plot!$G$48:$G$51</c:f>
              <c:strCache>
                <c:ptCount val="4"/>
                <c:pt idx="0">
                  <c:v>sd</c:v>
                </c:pt>
                <c:pt idx="1">
                  <c:v>e_x</c:v>
                </c:pt>
                <c:pt idx="2">
                  <c:v>e_y</c:v>
                </c:pt>
                <c:pt idx="3">
                  <c:v>e_z</c:v>
                </c:pt>
              </c:strCache>
            </c:strRef>
          </c:cat>
          <c:val>
            <c:numRef>
              <c:f>Plot!$M$48:$M$51</c:f>
              <c:numCache>
                <c:formatCode>General</c:formatCode>
                <c:ptCount val="4"/>
                <c:pt idx="0">
                  <c:v>181.798</c:v>
                </c:pt>
                <c:pt idx="1">
                  <c:v>127.724</c:v>
                </c:pt>
                <c:pt idx="2">
                  <c:v>117.93600000000001</c:v>
                </c:pt>
                <c:pt idx="3">
                  <c:v>151.446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3B-459E-9614-5CE8E1B8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280895"/>
        <c:axId val="684281375"/>
      </c:lineChart>
      <c:catAx>
        <c:axId val="6842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81375"/>
        <c:crosses val="autoZero"/>
        <c:auto val="1"/>
        <c:lblAlgn val="ctr"/>
        <c:lblOffset val="100"/>
        <c:noMultiLvlLbl val="0"/>
      </c:catAx>
      <c:valAx>
        <c:axId val="6842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Chi-Square by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Plot!$H$79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Plot!$G$80:$G$81</c:f>
              <c:strCache>
                <c:ptCount val="2"/>
                <c:pt idx="0">
                  <c:v>ScaleFactor</c:v>
                </c:pt>
                <c:pt idx="1">
                  <c:v>Actual</c:v>
                </c:pt>
              </c:strCache>
            </c:strRef>
          </c:cat>
          <c:val>
            <c:numRef>
              <c:f>Plot!$H$80:$H$81</c:f>
              <c:numCache>
                <c:formatCode>General</c:formatCode>
                <c:ptCount val="2"/>
                <c:pt idx="0">
                  <c:v>2.613</c:v>
                </c:pt>
                <c:pt idx="1">
                  <c:v>1.387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1-47A4-A853-367A90B5317D}"/>
            </c:ext>
          </c:extLst>
        </c:ser>
        <c:ser>
          <c:idx val="1"/>
          <c:order val="1"/>
          <c:tx>
            <c:strRef>
              <c:f>Plot!$I$79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rgbClr val="00AA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Plot!$G$80:$G$81</c:f>
              <c:strCache>
                <c:ptCount val="2"/>
                <c:pt idx="0">
                  <c:v>ScaleFactor</c:v>
                </c:pt>
                <c:pt idx="1">
                  <c:v>Actual</c:v>
                </c:pt>
              </c:strCache>
            </c:strRef>
          </c:cat>
          <c:val>
            <c:numRef>
              <c:f>Plot!$I$80:$I$81</c:f>
              <c:numCache>
                <c:formatCode>General</c:formatCode>
                <c:ptCount val="2"/>
                <c:pt idx="0">
                  <c:v>2.0710000000000002</c:v>
                </c:pt>
                <c:pt idx="1">
                  <c:v>1.929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1-47A4-A853-367A90B5317D}"/>
            </c:ext>
          </c:extLst>
        </c:ser>
        <c:ser>
          <c:idx val="2"/>
          <c:order val="2"/>
          <c:tx>
            <c:strRef>
              <c:f>Plot!$J$79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Plot!$G$80:$G$81</c:f>
              <c:strCache>
                <c:ptCount val="2"/>
                <c:pt idx="0">
                  <c:v>ScaleFactor</c:v>
                </c:pt>
                <c:pt idx="1">
                  <c:v>Actual</c:v>
                </c:pt>
              </c:strCache>
            </c:strRef>
          </c:cat>
          <c:val>
            <c:numRef>
              <c:f>Plot!$J$80:$J$81</c:f>
              <c:numCache>
                <c:formatCode>General</c:formatCode>
                <c:ptCount val="2"/>
                <c:pt idx="0">
                  <c:v>3.7160000000000002</c:v>
                </c:pt>
                <c:pt idx="1">
                  <c:v>0.28399999999999997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91-47A4-A853-367A90B53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357023"/>
        <c:axId val="1068355103"/>
      </c:lineChart>
      <c:catAx>
        <c:axId val="106835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55103"/>
        <c:crosses val="autoZero"/>
        <c:auto val="1"/>
        <c:lblAlgn val="ctr"/>
        <c:lblOffset val="100"/>
        <c:noMultiLvlLbl val="0"/>
      </c:catAx>
      <c:valAx>
        <c:axId val="10683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5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26670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8682AE2-9227-1A9A-2FA9-EBC2B3A5C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59055</xdr:rowOff>
    </xdr:from>
    <xdr:to>
      <xdr:col>6</xdr:col>
      <xdr:colOff>0</xdr:colOff>
      <xdr:row>44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88BF80-C1A3-84BF-0AEC-AEFC19B7D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116205</xdr:rowOff>
    </xdr:from>
    <xdr:to>
      <xdr:col>6</xdr:col>
      <xdr:colOff>0</xdr:colOff>
      <xdr:row>76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FED0175-3240-FD1B-6C7B-BF77DD8D9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pane ySplit="4" topLeftCell="A23" activePane="bottomLeft" state="frozen"/>
      <selection pane="bottomLeft" activeCell="C1" sqref="C1"/>
    </sheetView>
  </sheetViews>
  <sheetFormatPr defaultRowHeight="14.4" x14ac:dyDescent="0.3"/>
  <cols>
    <col min="1" max="1" width="11.77734375" style="1" customWidth="1"/>
    <col min="2" max="2" width="32.77734375" style="8" customWidth="1"/>
    <col min="3" max="3" width="8.77734375" style="1" customWidth="1"/>
    <col min="4" max="4" width="9.88671875" style="1" customWidth="1"/>
    <col min="5" max="5" width="11.44140625" style="1" customWidth="1"/>
    <col min="6" max="6" width="8.88671875" style="1" customWidth="1"/>
    <col min="7" max="7" width="8.88671875" style="1"/>
    <col min="8" max="8" width="10.88671875" style="1" customWidth="1"/>
    <col min="10" max="10" width="8.88671875" style="1" customWidth="1"/>
  </cols>
  <sheetData>
    <row r="1" spans="1:11" s="5" customFormat="1" ht="28.8" x14ac:dyDescent="0.3">
      <c r="A1" s="4" t="s">
        <v>0</v>
      </c>
      <c r="B1" s="7" t="s">
        <v>1</v>
      </c>
      <c r="C1" s="14" t="s">
        <v>2</v>
      </c>
      <c r="D1" s="14" t="s">
        <v>3</v>
      </c>
      <c r="E1" s="4" t="s">
        <v>4</v>
      </c>
      <c r="F1" s="4" t="s">
        <v>5</v>
      </c>
      <c r="G1" s="4"/>
      <c r="H1" s="4"/>
      <c r="J1" s="4"/>
    </row>
    <row r="2" spans="1:11" x14ac:dyDescent="0.3">
      <c r="A2" s="1">
        <v>1475</v>
      </c>
      <c r="B2" s="8" t="s">
        <v>6</v>
      </c>
      <c r="C2" s="1">
        <v>0</v>
      </c>
      <c r="D2" s="1">
        <v>1</v>
      </c>
      <c r="E2" s="2">
        <v>42432</v>
      </c>
      <c r="F2" s="3">
        <v>0.44696759259259261</v>
      </c>
    </row>
    <row r="3" spans="1:11" x14ac:dyDescent="0.3">
      <c r="E3" s="2"/>
      <c r="F3" s="3"/>
    </row>
    <row r="4" spans="1:11" s="13" customFormat="1" x14ac:dyDescent="0.3">
      <c r="A4" s="12" t="s">
        <v>7</v>
      </c>
      <c r="B4" s="11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16</v>
      </c>
      <c r="K4" s="12" t="s">
        <v>17</v>
      </c>
    </row>
    <row r="5" spans="1:11" x14ac:dyDescent="0.3">
      <c r="A5" s="1">
        <v>1</v>
      </c>
      <c r="B5" s="1" t="s">
        <v>18</v>
      </c>
      <c r="E5" s="6">
        <v>-9120</v>
      </c>
      <c r="F5" s="6">
        <v>4217</v>
      </c>
      <c r="G5" s="6">
        <v>-14596</v>
      </c>
      <c r="H5" s="6"/>
    </row>
    <row r="6" spans="1:11" x14ac:dyDescent="0.3">
      <c r="A6" s="1">
        <f t="shared" ref="A6:A60" si="0">A5+1</f>
        <v>2</v>
      </c>
      <c r="B6" s="1" t="s">
        <v>19</v>
      </c>
      <c r="E6" s="1">
        <v>2792</v>
      </c>
      <c r="F6" s="1">
        <v>8970</v>
      </c>
      <c r="G6" s="1">
        <v>-14735</v>
      </c>
    </row>
    <row r="7" spans="1:11" x14ac:dyDescent="0.3">
      <c r="A7" s="1">
        <f t="shared" si="0"/>
        <v>3</v>
      </c>
      <c r="B7" s="1" t="s">
        <v>20</v>
      </c>
      <c r="E7" s="1">
        <v>8688</v>
      </c>
      <c r="F7" s="1">
        <v>-3796</v>
      </c>
      <c r="G7" s="1">
        <v>-14324</v>
      </c>
    </row>
    <row r="8" spans="1:11" x14ac:dyDescent="0.3">
      <c r="A8" s="1">
        <f t="shared" si="0"/>
        <v>4</v>
      </c>
      <c r="B8" s="1" t="s">
        <v>21</v>
      </c>
      <c r="E8" s="1">
        <v>-3171</v>
      </c>
      <c r="F8" s="1">
        <v>-8531</v>
      </c>
      <c r="G8" s="1">
        <v>-14167</v>
      </c>
    </row>
    <row r="9" spans="1:11" x14ac:dyDescent="0.3">
      <c r="A9" s="1">
        <f t="shared" si="0"/>
        <v>5</v>
      </c>
      <c r="B9" s="1" t="s">
        <v>22</v>
      </c>
      <c r="E9" s="1">
        <v>-8984</v>
      </c>
      <c r="F9" s="1">
        <v>-3094</v>
      </c>
      <c r="G9" s="1">
        <v>13247</v>
      </c>
    </row>
    <row r="10" spans="1:11" x14ac:dyDescent="0.3">
      <c r="A10" s="1">
        <f t="shared" si="0"/>
        <v>6</v>
      </c>
      <c r="B10" s="1" t="s">
        <v>23</v>
      </c>
      <c r="E10" s="1">
        <v>3476</v>
      </c>
      <c r="F10" s="1">
        <v>-9202</v>
      </c>
      <c r="G10" s="1">
        <v>13621</v>
      </c>
    </row>
    <row r="11" spans="1:11" x14ac:dyDescent="0.3">
      <c r="A11" s="1">
        <f t="shared" si="0"/>
        <v>7</v>
      </c>
      <c r="B11" s="1" t="s">
        <v>24</v>
      </c>
      <c r="E11" s="1">
        <v>8199</v>
      </c>
      <c r="F11" s="1">
        <v>2952</v>
      </c>
      <c r="G11" s="1">
        <v>13177</v>
      </c>
    </row>
    <row r="12" spans="1:11" x14ac:dyDescent="0.3">
      <c r="A12" s="1">
        <f t="shared" si="0"/>
        <v>8</v>
      </c>
      <c r="B12" s="1" t="s">
        <v>25</v>
      </c>
      <c r="E12" s="1">
        <v>-4261</v>
      </c>
      <c r="F12" s="1">
        <v>9034</v>
      </c>
      <c r="G12" s="1">
        <v>12865</v>
      </c>
    </row>
    <row r="13" spans="1:11" x14ac:dyDescent="0.3">
      <c r="A13" s="1">
        <f t="shared" si="0"/>
        <v>9</v>
      </c>
      <c r="B13" s="1" t="s">
        <v>26</v>
      </c>
      <c r="E13" s="1">
        <v>-8358</v>
      </c>
      <c r="F13" s="1">
        <v>-13478</v>
      </c>
      <c r="G13" s="1">
        <v>-3683</v>
      </c>
    </row>
    <row r="14" spans="1:11" x14ac:dyDescent="0.3">
      <c r="A14" s="1">
        <f t="shared" si="0"/>
        <v>10</v>
      </c>
      <c r="B14" s="1" t="s">
        <v>27</v>
      </c>
      <c r="E14" s="1">
        <v>3924</v>
      </c>
      <c r="F14" s="1">
        <v>-14281</v>
      </c>
      <c r="G14" s="1">
        <v>-8738</v>
      </c>
    </row>
    <row r="15" spans="1:11" x14ac:dyDescent="0.3">
      <c r="A15" s="1">
        <f t="shared" si="0"/>
        <v>11</v>
      </c>
      <c r="B15" s="1" t="s">
        <v>28</v>
      </c>
      <c r="E15" s="1">
        <v>9068</v>
      </c>
      <c r="F15" s="1">
        <v>-14598</v>
      </c>
      <c r="G15" s="1">
        <v>3468</v>
      </c>
    </row>
    <row r="16" spans="1:11" x14ac:dyDescent="0.3">
      <c r="A16" s="1">
        <f t="shared" si="0"/>
        <v>12</v>
      </c>
      <c r="B16" s="1"/>
      <c r="E16" s="1">
        <v>-3144</v>
      </c>
      <c r="F16" s="1">
        <v>-13840</v>
      </c>
      <c r="G16" s="1">
        <v>8698</v>
      </c>
    </row>
    <row r="17" spans="1:7" x14ac:dyDescent="0.3">
      <c r="A17" s="1">
        <f t="shared" si="0"/>
        <v>13</v>
      </c>
      <c r="B17" s="1" t="s">
        <v>29</v>
      </c>
    </row>
    <row r="18" spans="1:7" x14ac:dyDescent="0.3">
      <c r="A18" s="1">
        <f t="shared" si="0"/>
        <v>14</v>
      </c>
      <c r="B18" s="1" t="s">
        <v>30</v>
      </c>
      <c r="E18" s="1">
        <v>-9760</v>
      </c>
      <c r="F18" s="1">
        <v>14551</v>
      </c>
      <c r="G18" s="1">
        <v>2393</v>
      </c>
    </row>
    <row r="19" spans="1:7" x14ac:dyDescent="0.3">
      <c r="A19" s="1">
        <f t="shared" si="0"/>
        <v>15</v>
      </c>
      <c r="B19" s="1"/>
      <c r="E19" s="1">
        <v>2388</v>
      </c>
      <c r="F19" s="1">
        <v>13930.001</v>
      </c>
      <c r="G19" s="1">
        <v>7673</v>
      </c>
    </row>
    <row r="20" spans="1:7" x14ac:dyDescent="0.3">
      <c r="A20" s="1">
        <f t="shared" si="0"/>
        <v>16</v>
      </c>
      <c r="B20" s="1" t="s">
        <v>31</v>
      </c>
    </row>
    <row r="21" spans="1:7" x14ac:dyDescent="0.3">
      <c r="A21" s="1">
        <f t="shared" si="0"/>
        <v>17</v>
      </c>
      <c r="B21" s="1" t="s">
        <v>32</v>
      </c>
      <c r="E21" s="1">
        <v>7692</v>
      </c>
      <c r="F21" s="1">
        <v>13725.001</v>
      </c>
      <c r="G21" s="1">
        <v>-4439</v>
      </c>
    </row>
    <row r="22" spans="1:7" x14ac:dyDescent="0.3">
      <c r="A22" s="1">
        <f t="shared" si="0"/>
        <v>18</v>
      </c>
      <c r="B22" s="1" t="s">
        <v>33</v>
      </c>
      <c r="E22" s="1">
        <v>-4390</v>
      </c>
      <c r="F22" s="1">
        <v>14343</v>
      </c>
      <c r="G22" s="1">
        <v>-9876</v>
      </c>
    </row>
    <row r="23" spans="1:7" x14ac:dyDescent="0.3">
      <c r="A23" s="1">
        <f t="shared" si="0"/>
        <v>19</v>
      </c>
      <c r="B23" s="1" t="s">
        <v>34</v>
      </c>
      <c r="E23" s="1">
        <v>-14329</v>
      </c>
      <c r="F23" s="1">
        <v>4200</v>
      </c>
      <c r="G23" s="1">
        <v>7794</v>
      </c>
    </row>
    <row r="24" spans="1:7" x14ac:dyDescent="0.3">
      <c r="A24" s="1">
        <f t="shared" si="0"/>
        <v>20</v>
      </c>
      <c r="B24" s="1" t="s">
        <v>35</v>
      </c>
      <c r="E24" s="1">
        <v>-14464</v>
      </c>
      <c r="F24" s="1">
        <v>9744</v>
      </c>
      <c r="G24" s="1">
        <v>-4506</v>
      </c>
    </row>
    <row r="25" spans="1:7" x14ac:dyDescent="0.3">
      <c r="A25" s="1">
        <f t="shared" si="0"/>
        <v>21</v>
      </c>
      <c r="B25" s="1" t="s">
        <v>36</v>
      </c>
      <c r="E25" s="1">
        <v>-13839</v>
      </c>
      <c r="F25" s="1">
        <v>-2599</v>
      </c>
      <c r="G25" s="1">
        <v>-9378</v>
      </c>
    </row>
    <row r="26" spans="1:7" x14ac:dyDescent="0.3">
      <c r="A26" s="1">
        <f t="shared" si="0"/>
        <v>22</v>
      </c>
      <c r="B26" s="1" t="s">
        <v>37</v>
      </c>
      <c r="E26" s="1">
        <v>-13644</v>
      </c>
      <c r="F26" s="1">
        <v>-8126</v>
      </c>
      <c r="G26" s="1">
        <v>2964</v>
      </c>
    </row>
    <row r="27" spans="1:7" x14ac:dyDescent="0.3">
      <c r="A27" s="1">
        <f t="shared" si="0"/>
        <v>23</v>
      </c>
      <c r="B27" s="1" t="s">
        <v>38</v>
      </c>
      <c r="E27" s="1">
        <v>13357</v>
      </c>
      <c r="F27" s="1">
        <v>2980</v>
      </c>
      <c r="G27" s="1">
        <v>-9338</v>
      </c>
    </row>
    <row r="28" spans="1:7" x14ac:dyDescent="0.3">
      <c r="A28" s="1">
        <f t="shared" si="0"/>
        <v>24</v>
      </c>
      <c r="B28" s="1" t="s">
        <v>39</v>
      </c>
      <c r="E28" s="1">
        <v>13045</v>
      </c>
      <c r="F28" s="1">
        <v>8254</v>
      </c>
      <c r="G28" s="1">
        <v>2701</v>
      </c>
    </row>
    <row r="29" spans="1:7" x14ac:dyDescent="0.3">
      <c r="A29" s="1">
        <f t="shared" si="0"/>
        <v>25</v>
      </c>
      <c r="B29" s="1" t="s">
        <v>40</v>
      </c>
      <c r="E29" s="1">
        <v>13780</v>
      </c>
      <c r="F29" s="1">
        <v>-4306</v>
      </c>
      <c r="G29" s="1">
        <v>8313</v>
      </c>
    </row>
    <row r="30" spans="1:7" x14ac:dyDescent="0.3">
      <c r="A30" s="1">
        <f t="shared" si="0"/>
        <v>26</v>
      </c>
      <c r="B30" s="1" t="s">
        <v>41</v>
      </c>
      <c r="E30" s="1">
        <v>14021</v>
      </c>
      <c r="F30" s="1">
        <v>-9516</v>
      </c>
      <c r="G30" s="1">
        <v>-3759</v>
      </c>
    </row>
    <row r="31" spans="1:7" x14ac:dyDescent="0.3">
      <c r="A31" s="1">
        <f t="shared" si="0"/>
        <v>27</v>
      </c>
    </row>
    <row r="32" spans="1:7" ht="28.8" x14ac:dyDescent="0.3">
      <c r="A32" s="1">
        <f t="shared" si="0"/>
        <v>28</v>
      </c>
      <c r="B32" s="10" t="s">
        <v>72</v>
      </c>
    </row>
    <row r="33" spans="1:10" x14ac:dyDescent="0.3">
      <c r="A33" s="1">
        <f t="shared" si="0"/>
        <v>29</v>
      </c>
      <c r="B33" s="8" t="s">
        <v>42</v>
      </c>
      <c r="D33" s="1">
        <v>293</v>
      </c>
      <c r="G33" s="1">
        <v>2207</v>
      </c>
      <c r="H33" s="1">
        <v>2500</v>
      </c>
    </row>
    <row r="34" spans="1:10" x14ac:dyDescent="0.3">
      <c r="A34" s="1">
        <f t="shared" si="0"/>
        <v>30</v>
      </c>
      <c r="B34" s="8" t="s">
        <v>42</v>
      </c>
      <c r="D34" s="1">
        <v>-63</v>
      </c>
      <c r="G34" s="1">
        <v>2437</v>
      </c>
      <c r="H34" s="1">
        <v>2500</v>
      </c>
    </row>
    <row r="35" spans="1:10" x14ac:dyDescent="0.3">
      <c r="A35" s="1">
        <f t="shared" si="0"/>
        <v>31</v>
      </c>
      <c r="B35" s="8" t="s">
        <v>42</v>
      </c>
      <c r="D35" s="1">
        <v>609</v>
      </c>
      <c r="G35" s="1">
        <v>1891</v>
      </c>
      <c r="H35" s="1">
        <v>2500</v>
      </c>
    </row>
    <row r="36" spans="1:10" x14ac:dyDescent="0.3">
      <c r="A36" s="1">
        <f t="shared" si="0"/>
        <v>32</v>
      </c>
      <c r="B36" s="8" t="s">
        <v>43</v>
      </c>
      <c r="C36" s="1" t="s">
        <v>73</v>
      </c>
      <c r="E36" s="1">
        <v>0</v>
      </c>
      <c r="F36" s="1">
        <v>0</v>
      </c>
      <c r="G36" s="1">
        <v>10</v>
      </c>
      <c r="H36" s="1">
        <v>10</v>
      </c>
    </row>
    <row r="37" spans="1:10" x14ac:dyDescent="0.3">
      <c r="A37" s="1">
        <f t="shared" si="0"/>
        <v>33</v>
      </c>
      <c r="B37" s="8" t="s">
        <v>45</v>
      </c>
      <c r="C37" s="1" t="s">
        <v>46</v>
      </c>
      <c r="E37" s="1">
        <v>-4.9729999999999999</v>
      </c>
      <c r="F37" s="1">
        <v>0</v>
      </c>
      <c r="G37" s="1">
        <v>5.0270000000000001</v>
      </c>
      <c r="H37" s="1">
        <v>10</v>
      </c>
    </row>
    <row r="38" spans="1:10" x14ac:dyDescent="0.3">
      <c r="A38" s="1">
        <f t="shared" si="0"/>
        <v>34</v>
      </c>
      <c r="B38" s="8" t="s">
        <v>47</v>
      </c>
      <c r="E38" s="1">
        <v>-0.63600000000000001</v>
      </c>
      <c r="F38" s="1">
        <v>0</v>
      </c>
      <c r="G38" s="1">
        <v>9.3640000000000008</v>
      </c>
      <c r="H38" s="1">
        <v>10</v>
      </c>
    </row>
    <row r="39" spans="1:10" x14ac:dyDescent="0.3">
      <c r="A39" s="1">
        <f t="shared" si="0"/>
        <v>35</v>
      </c>
      <c r="B39" s="8" t="s">
        <v>48</v>
      </c>
      <c r="E39" s="1">
        <v>-5.2619999999999996</v>
      </c>
      <c r="F39" s="1">
        <v>0</v>
      </c>
      <c r="G39" s="1">
        <v>4.7380000000000004</v>
      </c>
      <c r="H39" s="1">
        <v>10</v>
      </c>
      <c r="J39" s="1" t="s">
        <v>49</v>
      </c>
    </row>
    <row r="40" spans="1:10" x14ac:dyDescent="0.3">
      <c r="A40" s="1">
        <f t="shared" si="0"/>
        <v>36</v>
      </c>
      <c r="B40" s="8" t="s">
        <v>50</v>
      </c>
      <c r="E40" s="1">
        <v>2.0430000000000001</v>
      </c>
      <c r="F40" s="1">
        <v>0</v>
      </c>
      <c r="G40" s="1">
        <v>7.9569999999999999</v>
      </c>
      <c r="H40" s="1">
        <v>10</v>
      </c>
    </row>
    <row r="41" spans="1:10" x14ac:dyDescent="0.3">
      <c r="A41" s="1">
        <f t="shared" si="0"/>
        <v>37</v>
      </c>
      <c r="B41" s="8" t="s">
        <v>51</v>
      </c>
      <c r="E41" s="1">
        <v>-0.94299999999999995</v>
      </c>
      <c r="F41" s="1">
        <v>0</v>
      </c>
      <c r="G41" s="1">
        <v>9.0570000000000004</v>
      </c>
      <c r="H41" s="1">
        <v>10</v>
      </c>
    </row>
    <row r="42" spans="1:10" x14ac:dyDescent="0.3">
      <c r="A42" s="1">
        <f t="shared" si="0"/>
        <v>38</v>
      </c>
      <c r="B42" s="8" t="s">
        <v>52</v>
      </c>
      <c r="E42" s="1">
        <v>0.89400000000000002</v>
      </c>
      <c r="F42" s="1">
        <v>0</v>
      </c>
      <c r="G42" s="1">
        <v>9.1059999999999999</v>
      </c>
      <c r="H42" s="1">
        <v>10</v>
      </c>
    </row>
    <row r="43" spans="1:10" x14ac:dyDescent="0.3">
      <c r="A43" s="1">
        <f t="shared" si="0"/>
        <v>39</v>
      </c>
      <c r="B43" s="8" t="s">
        <v>53</v>
      </c>
      <c r="C43" s="1" t="s">
        <v>54</v>
      </c>
      <c r="E43" s="1">
        <v>-3.4340000000000002</v>
      </c>
      <c r="F43" s="1">
        <v>0</v>
      </c>
      <c r="G43" s="1">
        <v>6.5659999999999998</v>
      </c>
      <c r="H43" s="1">
        <v>10</v>
      </c>
    </row>
    <row r="44" spans="1:10" x14ac:dyDescent="0.3">
      <c r="A44" s="1">
        <f t="shared" si="0"/>
        <v>40</v>
      </c>
      <c r="B44" s="8" t="s">
        <v>55</v>
      </c>
      <c r="E44" s="1">
        <v>0.189</v>
      </c>
      <c r="F44" s="1">
        <v>0</v>
      </c>
      <c r="G44" s="1">
        <v>9.8109999999999999</v>
      </c>
      <c r="H44" s="1">
        <v>10</v>
      </c>
    </row>
    <row r="45" spans="1:10" x14ac:dyDescent="0.3">
      <c r="A45" s="1">
        <f>A44+1</f>
        <v>41</v>
      </c>
      <c r="B45" s="9" t="s">
        <v>56</v>
      </c>
    </row>
    <row r="46" spans="1:10" x14ac:dyDescent="0.3">
      <c r="A46" s="1">
        <f t="shared" si="0"/>
        <v>42</v>
      </c>
      <c r="B46" s="8" t="s">
        <v>57</v>
      </c>
      <c r="E46" s="1">
        <v>19.949000000000002</v>
      </c>
      <c r="F46" s="1">
        <v>0</v>
      </c>
      <c r="G46" s="1">
        <v>180.05099999999999</v>
      </c>
      <c r="H46" s="1">
        <v>200</v>
      </c>
    </row>
    <row r="47" spans="1:10" x14ac:dyDescent="0.3">
      <c r="A47" s="1">
        <f t="shared" si="0"/>
        <v>43</v>
      </c>
      <c r="B47" s="8" t="s">
        <v>58</v>
      </c>
      <c r="E47" s="1">
        <v>27.393999999999998</v>
      </c>
      <c r="F47" s="1">
        <v>0</v>
      </c>
      <c r="G47" s="1">
        <v>172.60599999999999</v>
      </c>
      <c r="H47" s="1">
        <v>200</v>
      </c>
    </row>
    <row r="48" spans="1:10" x14ac:dyDescent="0.3">
      <c r="A48" s="1">
        <f t="shared" si="0"/>
        <v>44</v>
      </c>
      <c r="B48" s="8" t="s">
        <v>59</v>
      </c>
      <c r="E48" s="1">
        <v>18.202000000000002</v>
      </c>
      <c r="F48" s="1">
        <v>0</v>
      </c>
      <c r="G48" s="1">
        <v>181.798</v>
      </c>
      <c r="H48" s="1">
        <v>200</v>
      </c>
      <c r="J48" s="1" t="s">
        <v>49</v>
      </c>
    </row>
    <row r="49" spans="1:10" x14ac:dyDescent="0.3">
      <c r="A49" s="1">
        <f t="shared" si="0"/>
        <v>45</v>
      </c>
      <c r="B49" s="8" t="s">
        <v>60</v>
      </c>
      <c r="E49" s="1">
        <v>50.220999999999997</v>
      </c>
      <c r="F49" s="1">
        <v>0</v>
      </c>
      <c r="G49" s="1">
        <v>149.779</v>
      </c>
      <c r="H49" s="1">
        <v>200</v>
      </c>
    </row>
    <row r="50" spans="1:10" x14ac:dyDescent="0.3">
      <c r="A50" s="1">
        <f t="shared" si="0"/>
        <v>46</v>
      </c>
      <c r="B50" s="8" t="s">
        <v>61</v>
      </c>
      <c r="E50" s="1">
        <v>31.420999999999999</v>
      </c>
      <c r="F50" s="1">
        <v>0</v>
      </c>
      <c r="G50" s="1">
        <v>168.57900000000001</v>
      </c>
      <c r="H50" s="1">
        <v>200</v>
      </c>
    </row>
    <row r="51" spans="1:10" x14ac:dyDescent="0.3">
      <c r="A51" s="1">
        <f t="shared" si="0"/>
        <v>47</v>
      </c>
      <c r="B51" s="8" t="s">
        <v>62</v>
      </c>
      <c r="E51" s="1">
        <v>74.768000000000001</v>
      </c>
      <c r="F51" s="1">
        <v>0</v>
      </c>
      <c r="G51" s="1">
        <v>125.232</v>
      </c>
      <c r="H51" s="1">
        <v>200</v>
      </c>
    </row>
    <row r="52" spans="1:10" x14ac:dyDescent="0.3">
      <c r="A52" s="1">
        <f t="shared" si="0"/>
        <v>48</v>
      </c>
      <c r="B52" s="8" t="s">
        <v>63</v>
      </c>
      <c r="E52" s="1">
        <v>40.435000000000002</v>
      </c>
      <c r="F52" s="1">
        <v>0</v>
      </c>
      <c r="G52" s="1">
        <v>159.565</v>
      </c>
      <c r="H52" s="1">
        <v>200</v>
      </c>
    </row>
    <row r="53" spans="1:10" x14ac:dyDescent="0.3">
      <c r="A53" s="1">
        <f t="shared" si="0"/>
        <v>49</v>
      </c>
      <c r="B53" s="8" t="s">
        <v>64</v>
      </c>
      <c r="E53" s="1">
        <v>36.774000000000001</v>
      </c>
      <c r="F53" s="1">
        <v>0</v>
      </c>
      <c r="G53" s="1">
        <v>163.226</v>
      </c>
      <c r="H53" s="1">
        <v>200</v>
      </c>
    </row>
    <row r="54" spans="1:10" x14ac:dyDescent="0.3">
      <c r="A54" s="1">
        <f t="shared" si="0"/>
        <v>50</v>
      </c>
      <c r="B54" s="8" t="s">
        <v>65</v>
      </c>
      <c r="E54" s="1">
        <v>92.953999999999994</v>
      </c>
      <c r="F54" s="1">
        <v>0</v>
      </c>
      <c r="G54" s="1">
        <v>107.04600000000001</v>
      </c>
      <c r="H54" s="1">
        <v>200</v>
      </c>
    </row>
    <row r="55" spans="1:10" x14ac:dyDescent="0.3">
      <c r="A55" s="1">
        <f t="shared" si="0"/>
        <v>51</v>
      </c>
      <c r="B55" s="8" t="s">
        <v>66</v>
      </c>
      <c r="E55" s="1">
        <v>72.275999999999996</v>
      </c>
      <c r="F55" s="1">
        <v>0</v>
      </c>
      <c r="G55" s="1">
        <v>127.724</v>
      </c>
      <c r="H55" s="1">
        <v>200</v>
      </c>
    </row>
    <row r="56" spans="1:10" x14ac:dyDescent="0.3">
      <c r="A56" s="1">
        <f t="shared" si="0"/>
        <v>52</v>
      </c>
      <c r="B56" s="8" t="s">
        <v>67</v>
      </c>
      <c r="E56" s="1">
        <v>82.063999999999993</v>
      </c>
      <c r="F56" s="1">
        <v>0</v>
      </c>
      <c r="G56" s="1">
        <v>117.93600000000001</v>
      </c>
      <c r="H56" s="1">
        <v>200</v>
      </c>
      <c r="J56" s="1" t="s">
        <v>49</v>
      </c>
    </row>
    <row r="57" spans="1:10" x14ac:dyDescent="0.3">
      <c r="A57" s="1">
        <f t="shared" si="0"/>
        <v>53</v>
      </c>
      <c r="B57" s="8" t="s">
        <v>68</v>
      </c>
      <c r="E57" s="1">
        <v>48.554000000000002</v>
      </c>
      <c r="F57" s="1">
        <v>0</v>
      </c>
      <c r="G57" s="1">
        <v>151.446</v>
      </c>
      <c r="H57" s="1">
        <v>4</v>
      </c>
    </row>
    <row r="58" spans="1:10" x14ac:dyDescent="0.3">
      <c r="A58" s="1">
        <f t="shared" si="0"/>
        <v>54</v>
      </c>
      <c r="B58" s="8" t="s">
        <v>69</v>
      </c>
      <c r="E58" s="1">
        <v>2.613</v>
      </c>
      <c r="F58" s="1">
        <v>0</v>
      </c>
      <c r="G58" s="1">
        <v>1.387</v>
      </c>
      <c r="H58" s="1">
        <v>4</v>
      </c>
    </row>
    <row r="59" spans="1:10" x14ac:dyDescent="0.3">
      <c r="A59" s="1">
        <f t="shared" si="0"/>
        <v>55</v>
      </c>
      <c r="B59" s="8" t="s">
        <v>70</v>
      </c>
      <c r="E59" s="1">
        <v>2.0710000000000002</v>
      </c>
      <c r="F59" s="1">
        <v>0</v>
      </c>
      <c r="G59" s="1">
        <v>1.929</v>
      </c>
      <c r="H59" s="1">
        <v>4</v>
      </c>
    </row>
    <row r="60" spans="1:10" x14ac:dyDescent="0.3">
      <c r="A60" s="1">
        <f t="shared" si="0"/>
        <v>56</v>
      </c>
      <c r="B60" s="8" t="s">
        <v>71</v>
      </c>
      <c r="E60" s="1">
        <v>3.7160000000000002</v>
      </c>
      <c r="F60" s="1">
        <v>0</v>
      </c>
      <c r="G60" s="1">
        <v>0.28399999999999997</v>
      </c>
      <c r="H60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ABDF-A853-431C-85E1-59413A5B704A}">
  <dimension ref="A17:M82"/>
  <sheetViews>
    <sheetView workbookViewId="0"/>
  </sheetViews>
  <sheetFormatPr defaultRowHeight="14.4" x14ac:dyDescent="0.3"/>
  <sheetData>
    <row r="17" spans="1:13" x14ac:dyDescent="0.3">
      <c r="A17" t="s">
        <v>74</v>
      </c>
      <c r="G17" t="s">
        <v>80</v>
      </c>
    </row>
    <row r="18" spans="1:13" x14ac:dyDescent="0.3">
      <c r="A18" t="s">
        <v>75</v>
      </c>
      <c r="B18" t="s">
        <v>76</v>
      </c>
      <c r="C18" t="s">
        <v>77</v>
      </c>
      <c r="D18" t="s">
        <v>11</v>
      </c>
      <c r="E18" t="s">
        <v>13</v>
      </c>
      <c r="G18" t="s">
        <v>77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</row>
    <row r="19" spans="1:13" x14ac:dyDescent="0.3">
      <c r="A19" t="str">
        <f>Report!B36</f>
        <v>sxx</v>
      </c>
      <c r="B19" t="s">
        <v>49</v>
      </c>
      <c r="C19" t="s">
        <v>44</v>
      </c>
      <c r="D19">
        <f>Report!E36</f>
        <v>0</v>
      </c>
      <c r="E19">
        <f>Report!G36</f>
        <v>10</v>
      </c>
      <c r="G19" t="s">
        <v>99</v>
      </c>
      <c r="H19">
        <f>Report!E36</f>
        <v>0</v>
      </c>
      <c r="I19">
        <f>Report!G36</f>
        <v>10</v>
      </c>
      <c r="J19">
        <f>Report!E39</f>
        <v>-5.2619999999999996</v>
      </c>
      <c r="K19">
        <f>Report!G39</f>
        <v>4.7380000000000004</v>
      </c>
      <c r="L19">
        <f>Report!E42</f>
        <v>0.89400000000000002</v>
      </c>
      <c r="M19">
        <f>Report!G42</f>
        <v>9.1059999999999999</v>
      </c>
    </row>
    <row r="20" spans="1:13" x14ac:dyDescent="0.3">
      <c r="A20" t="str">
        <f>Report!B37</f>
        <v>sxy</v>
      </c>
      <c r="B20" t="s">
        <v>49</v>
      </c>
      <c r="C20" t="s">
        <v>92</v>
      </c>
      <c r="D20">
        <f>Report!E37</f>
        <v>-4.9729999999999999</v>
      </c>
      <c r="E20">
        <f>Report!G37</f>
        <v>5.0270000000000001</v>
      </c>
      <c r="G20" t="s">
        <v>100</v>
      </c>
      <c r="H20">
        <f>Report!E37</f>
        <v>-4.9729999999999999</v>
      </c>
      <c r="I20">
        <f>Report!G37</f>
        <v>5.0270000000000001</v>
      </c>
      <c r="J20">
        <f>Report!E40</f>
        <v>2.0430000000000001</v>
      </c>
      <c r="K20">
        <f>Report!G40</f>
        <v>7.9569999999999999</v>
      </c>
      <c r="L20">
        <f>Report!E43</f>
        <v>-3.4340000000000002</v>
      </c>
      <c r="M20">
        <f>Report!G43</f>
        <v>6.5659999999999998</v>
      </c>
    </row>
    <row r="21" spans="1:13" x14ac:dyDescent="0.3">
      <c r="A21" t="str">
        <f>Report!B38</f>
        <v>sxz</v>
      </c>
      <c r="B21" t="s">
        <v>49</v>
      </c>
      <c r="C21" t="s">
        <v>93</v>
      </c>
      <c r="D21">
        <f>Report!E38</f>
        <v>-0.63600000000000001</v>
      </c>
      <c r="E21">
        <f>Report!G38</f>
        <v>9.3640000000000008</v>
      </c>
      <c r="G21" t="s">
        <v>101</v>
      </c>
      <c r="H21">
        <f>Report!E38</f>
        <v>-0.63600000000000001</v>
      </c>
      <c r="I21">
        <f>Report!G38</f>
        <v>9.3640000000000008</v>
      </c>
      <c r="J21">
        <f>Report!E41</f>
        <v>-0.94299999999999995</v>
      </c>
      <c r="K21">
        <f>Report!G41</f>
        <v>9.0570000000000004</v>
      </c>
      <c r="L21">
        <f>Report!E44</f>
        <v>0.189</v>
      </c>
      <c r="M21">
        <f>Report!G44</f>
        <v>9.8109999999999999</v>
      </c>
    </row>
    <row r="22" spans="1:13" x14ac:dyDescent="0.3">
      <c r="A22" t="str">
        <f>Report!B39</f>
        <v>syx</v>
      </c>
      <c r="B22" t="s">
        <v>90</v>
      </c>
      <c r="C22" t="s">
        <v>94</v>
      </c>
      <c r="D22">
        <f>Report!E39</f>
        <v>-5.2619999999999996</v>
      </c>
      <c r="E22">
        <f>Report!G39</f>
        <v>4.7380000000000004</v>
      </c>
    </row>
    <row r="23" spans="1:13" x14ac:dyDescent="0.3">
      <c r="A23" t="str">
        <f>Report!B40</f>
        <v>syy</v>
      </c>
      <c r="B23" t="s">
        <v>90</v>
      </c>
      <c r="C23" t="s">
        <v>95</v>
      </c>
      <c r="D23">
        <f>Report!E40</f>
        <v>2.0430000000000001</v>
      </c>
      <c r="E23">
        <f>Report!G40</f>
        <v>7.9569999999999999</v>
      </c>
    </row>
    <row r="24" spans="1:13" x14ac:dyDescent="0.3">
      <c r="A24" t="str">
        <f>Report!B41</f>
        <v>syz</v>
      </c>
      <c r="B24" t="s">
        <v>90</v>
      </c>
      <c r="C24" t="s">
        <v>96</v>
      </c>
      <c r="D24">
        <f>Report!E41</f>
        <v>-0.94299999999999995</v>
      </c>
      <c r="E24">
        <f>Report!G41</f>
        <v>9.0570000000000004</v>
      </c>
    </row>
    <row r="25" spans="1:13" x14ac:dyDescent="0.3">
      <c r="A25" t="str">
        <f>Report!B42</f>
        <v>szx</v>
      </c>
      <c r="B25" t="s">
        <v>91</v>
      </c>
      <c r="C25" t="s">
        <v>97</v>
      </c>
      <c r="D25">
        <f>Report!E42</f>
        <v>0.89400000000000002</v>
      </c>
      <c r="E25">
        <f>Report!G42</f>
        <v>9.1059999999999999</v>
      </c>
    </row>
    <row r="26" spans="1:13" x14ac:dyDescent="0.3">
      <c r="A26" t="str">
        <f>Report!B43</f>
        <v>szy</v>
      </c>
      <c r="B26" t="s">
        <v>91</v>
      </c>
      <c r="C26" t="s">
        <v>54</v>
      </c>
      <c r="D26">
        <f>Report!E43</f>
        <v>-3.4340000000000002</v>
      </c>
      <c r="E26">
        <f>Report!G43</f>
        <v>6.5659999999999998</v>
      </c>
    </row>
    <row r="27" spans="1:13" x14ac:dyDescent="0.3">
      <c r="A27" t="str">
        <f>Report!B44</f>
        <v>szz</v>
      </c>
      <c r="B27" t="s">
        <v>91</v>
      </c>
      <c r="C27" t="s">
        <v>98</v>
      </c>
      <c r="D27">
        <f>Report!E44</f>
        <v>0.189</v>
      </c>
      <c r="E27">
        <f>Report!G44</f>
        <v>9.8109999999999999</v>
      </c>
    </row>
    <row r="46" spans="1:13" x14ac:dyDescent="0.3">
      <c r="A46" t="s">
        <v>78</v>
      </c>
      <c r="G46" t="s">
        <v>87</v>
      </c>
    </row>
    <row r="47" spans="1:13" x14ac:dyDescent="0.3">
      <c r="A47" t="s">
        <v>75</v>
      </c>
      <c r="B47" t="s">
        <v>76</v>
      </c>
      <c r="C47" t="s">
        <v>77</v>
      </c>
      <c r="D47" t="s">
        <v>11</v>
      </c>
      <c r="E47" t="s">
        <v>13</v>
      </c>
      <c r="G47" t="s">
        <v>77</v>
      </c>
      <c r="H47" t="s">
        <v>81</v>
      </c>
      <c r="I47" t="s">
        <v>82</v>
      </c>
      <c r="J47" t="s">
        <v>83</v>
      </c>
      <c r="K47" t="s">
        <v>84</v>
      </c>
      <c r="L47" t="s">
        <v>85</v>
      </c>
      <c r="M47" t="s">
        <v>86</v>
      </c>
    </row>
    <row r="48" spans="1:13" x14ac:dyDescent="0.3">
      <c r="A48" t="str">
        <f>Report!B46</f>
        <v>xsd</v>
      </c>
      <c r="B48" t="s">
        <v>49</v>
      </c>
      <c r="C48" t="s">
        <v>57</v>
      </c>
      <c r="D48">
        <f>Report!E46</f>
        <v>19.949000000000002</v>
      </c>
      <c r="E48">
        <f>Report!G46</f>
        <v>180.05099999999999</v>
      </c>
      <c r="G48" t="s">
        <v>102</v>
      </c>
      <c r="H48">
        <f>Report!E46</f>
        <v>19.949000000000002</v>
      </c>
      <c r="I48">
        <f>Report!G46</f>
        <v>180.05099999999999</v>
      </c>
      <c r="J48">
        <f>Report!E47</f>
        <v>27.393999999999998</v>
      </c>
      <c r="K48">
        <f>Report!G47</f>
        <v>172.60599999999999</v>
      </c>
      <c r="L48">
        <f>Report!E48</f>
        <v>18.202000000000002</v>
      </c>
      <c r="M48">
        <f>Report!G48</f>
        <v>181.798</v>
      </c>
    </row>
    <row r="49" spans="1:13" x14ac:dyDescent="0.3">
      <c r="A49" t="str">
        <f>Report!B49</f>
        <v>exx</v>
      </c>
      <c r="B49" t="s">
        <v>49</v>
      </c>
      <c r="C49" t="s">
        <v>60</v>
      </c>
      <c r="D49">
        <f>Report!E49</f>
        <v>50.220999999999997</v>
      </c>
      <c r="E49">
        <f>Report!G49</f>
        <v>149.779</v>
      </c>
      <c r="G49" t="s">
        <v>103</v>
      </c>
      <c r="H49">
        <f>Report!E49</f>
        <v>50.220999999999997</v>
      </c>
      <c r="I49">
        <f>Report!G49</f>
        <v>149.779</v>
      </c>
      <c r="J49">
        <f>Report!E52</f>
        <v>40.435000000000002</v>
      </c>
      <c r="K49">
        <f>Report!G52</f>
        <v>159.565</v>
      </c>
      <c r="L49">
        <f>Report!E55</f>
        <v>72.275999999999996</v>
      </c>
      <c r="M49">
        <f>Report!G55</f>
        <v>127.724</v>
      </c>
    </row>
    <row r="50" spans="1:13" x14ac:dyDescent="0.3">
      <c r="A50" t="str">
        <f>Report!B50</f>
        <v>exy</v>
      </c>
      <c r="B50" t="s">
        <v>49</v>
      </c>
      <c r="C50" t="s">
        <v>61</v>
      </c>
      <c r="D50">
        <f>Report!E50</f>
        <v>31.420999999999999</v>
      </c>
      <c r="E50">
        <f>Report!G50</f>
        <v>168.57900000000001</v>
      </c>
      <c r="G50" t="s">
        <v>104</v>
      </c>
      <c r="H50">
        <f>Report!E50</f>
        <v>31.420999999999999</v>
      </c>
      <c r="I50">
        <f>Report!G50</f>
        <v>168.57900000000001</v>
      </c>
      <c r="J50">
        <f>Report!E53</f>
        <v>36.774000000000001</v>
      </c>
      <c r="K50">
        <f>Report!G53</f>
        <v>163.226</v>
      </c>
      <c r="L50">
        <f>Report!E56</f>
        <v>82.063999999999993</v>
      </c>
      <c r="M50">
        <f>Report!G56</f>
        <v>117.93600000000001</v>
      </c>
    </row>
    <row r="51" spans="1:13" x14ac:dyDescent="0.3">
      <c r="A51" t="str">
        <f>Report!B51</f>
        <v>exz</v>
      </c>
      <c r="B51" t="s">
        <v>49</v>
      </c>
      <c r="C51" t="s">
        <v>62</v>
      </c>
      <c r="D51">
        <f>Report!E51</f>
        <v>74.768000000000001</v>
      </c>
      <c r="E51">
        <f>Report!G51</f>
        <v>125.232</v>
      </c>
      <c r="G51" t="s">
        <v>105</v>
      </c>
      <c r="H51">
        <f>Report!E51</f>
        <v>74.768000000000001</v>
      </c>
      <c r="I51">
        <f>Report!G51</f>
        <v>125.232</v>
      </c>
      <c r="J51">
        <f>Report!E54</f>
        <v>92.953999999999994</v>
      </c>
      <c r="K51">
        <f>Report!G54</f>
        <v>107.04600000000001</v>
      </c>
      <c r="L51">
        <f>Report!E57</f>
        <v>48.554000000000002</v>
      </c>
      <c r="M51">
        <f>Report!G57</f>
        <v>151.446</v>
      </c>
    </row>
    <row r="52" spans="1:13" x14ac:dyDescent="0.3">
      <c r="A52" t="str">
        <f>Report!B47</f>
        <v>ysd</v>
      </c>
      <c r="B52" t="s">
        <v>90</v>
      </c>
      <c r="C52" t="s">
        <v>58</v>
      </c>
      <c r="D52">
        <f>Report!E47</f>
        <v>27.393999999999998</v>
      </c>
      <c r="E52">
        <f>Report!G47</f>
        <v>172.60599999999999</v>
      </c>
    </row>
    <row r="53" spans="1:13" x14ac:dyDescent="0.3">
      <c r="A53" t="str">
        <f>Report!B52</f>
        <v>eyx</v>
      </c>
      <c r="B53" t="s">
        <v>90</v>
      </c>
      <c r="C53" t="s">
        <v>63</v>
      </c>
      <c r="D53">
        <f>Report!E52</f>
        <v>40.435000000000002</v>
      </c>
      <c r="E53">
        <f>Report!G52</f>
        <v>159.565</v>
      </c>
    </row>
    <row r="54" spans="1:13" x14ac:dyDescent="0.3">
      <c r="A54" t="str">
        <f>Report!B53</f>
        <v>eyy</v>
      </c>
      <c r="B54" t="s">
        <v>90</v>
      </c>
      <c r="C54" t="s">
        <v>64</v>
      </c>
      <c r="D54">
        <f>Report!E53</f>
        <v>36.774000000000001</v>
      </c>
      <c r="E54">
        <f>Report!G53</f>
        <v>163.226</v>
      </c>
    </row>
    <row r="55" spans="1:13" x14ac:dyDescent="0.3">
      <c r="A55" t="str">
        <f>Report!B54</f>
        <v>eyz</v>
      </c>
      <c r="B55" t="s">
        <v>90</v>
      </c>
      <c r="C55" t="s">
        <v>65</v>
      </c>
      <c r="D55">
        <f>Report!E54</f>
        <v>92.953999999999994</v>
      </c>
      <c r="E55">
        <f>Report!G54</f>
        <v>107.04600000000001</v>
      </c>
    </row>
    <row r="56" spans="1:13" x14ac:dyDescent="0.3">
      <c r="A56" t="str">
        <f>Report!B48</f>
        <v>zsd</v>
      </c>
      <c r="B56" t="s">
        <v>91</v>
      </c>
      <c r="C56" t="s">
        <v>59</v>
      </c>
      <c r="D56">
        <f>Report!E48</f>
        <v>18.202000000000002</v>
      </c>
      <c r="E56">
        <f>Report!G48</f>
        <v>181.798</v>
      </c>
    </row>
    <row r="57" spans="1:13" x14ac:dyDescent="0.3">
      <c r="A57" t="str">
        <f>Report!B55</f>
        <v>ezx</v>
      </c>
      <c r="B57" t="s">
        <v>91</v>
      </c>
      <c r="C57" t="s">
        <v>66</v>
      </c>
      <c r="D57">
        <f>Report!E55</f>
        <v>72.275999999999996</v>
      </c>
      <c r="E57">
        <f>Report!G55</f>
        <v>127.724</v>
      </c>
    </row>
    <row r="58" spans="1:13" x14ac:dyDescent="0.3">
      <c r="A58" t="str">
        <f>Report!B56</f>
        <v>ezy</v>
      </c>
      <c r="B58" t="s">
        <v>91</v>
      </c>
      <c r="C58" t="s">
        <v>67</v>
      </c>
      <c r="D58">
        <f>Report!E56</f>
        <v>82.063999999999993</v>
      </c>
      <c r="E58">
        <f>Report!G56</f>
        <v>117.93600000000001</v>
      </c>
    </row>
    <row r="59" spans="1:13" x14ac:dyDescent="0.3">
      <c r="A59" t="str">
        <f>Report!B57</f>
        <v>ezz</v>
      </c>
      <c r="B59" t="s">
        <v>91</v>
      </c>
      <c r="C59" t="s">
        <v>68</v>
      </c>
      <c r="D59">
        <f>Report!E57</f>
        <v>48.554000000000002</v>
      </c>
      <c r="E59">
        <f>Report!G57</f>
        <v>151.446</v>
      </c>
    </row>
    <row r="78" spans="1:10" x14ac:dyDescent="0.3">
      <c r="A78" t="s">
        <v>79</v>
      </c>
      <c r="G78" t="s">
        <v>88</v>
      </c>
    </row>
    <row r="79" spans="1:10" x14ac:dyDescent="0.3">
      <c r="A79" t="s">
        <v>75</v>
      </c>
      <c r="B79" t="s">
        <v>76</v>
      </c>
      <c r="C79" t="s">
        <v>77</v>
      </c>
      <c r="D79" t="s">
        <v>11</v>
      </c>
      <c r="E79" t="s">
        <v>13</v>
      </c>
      <c r="G79" t="s">
        <v>89</v>
      </c>
      <c r="H79" t="s">
        <v>49</v>
      </c>
      <c r="I79" t="s">
        <v>90</v>
      </c>
      <c r="J79" t="s">
        <v>91</v>
      </c>
    </row>
    <row r="80" spans="1:10" x14ac:dyDescent="0.3">
      <c r="A80" t="str">
        <f>Report!B58</f>
        <v>chisqr_x</v>
      </c>
      <c r="B80" t="s">
        <v>49</v>
      </c>
      <c r="C80" t="s">
        <v>69</v>
      </c>
      <c r="D80">
        <f>Report!E58</f>
        <v>2.613</v>
      </c>
      <c r="E80">
        <f>Report!G58</f>
        <v>1.387</v>
      </c>
      <c r="G80" t="s">
        <v>11</v>
      </c>
      <c r="H80">
        <f>Report!E58</f>
        <v>2.613</v>
      </c>
      <c r="I80">
        <f>Report!E59</f>
        <v>2.0710000000000002</v>
      </c>
      <c r="J80">
        <f>Report!E60</f>
        <v>3.7160000000000002</v>
      </c>
    </row>
    <row r="81" spans="1:10" x14ac:dyDescent="0.3">
      <c r="A81" t="str">
        <f>Report!B59</f>
        <v>chisqr_y</v>
      </c>
      <c r="B81" t="s">
        <v>90</v>
      </c>
      <c r="C81" t="s">
        <v>70</v>
      </c>
      <c r="D81">
        <f>Report!E59</f>
        <v>2.0710000000000002</v>
      </c>
      <c r="E81">
        <f>Report!G59</f>
        <v>1.929</v>
      </c>
      <c r="G81" t="s">
        <v>13</v>
      </c>
      <c r="H81">
        <f>Report!G58</f>
        <v>1.387</v>
      </c>
      <c r="I81">
        <f>Report!G59</f>
        <v>1.929</v>
      </c>
      <c r="J81">
        <f>Report!G60</f>
        <v>0.28399999999999997</v>
      </c>
    </row>
    <row r="82" spans="1:10" x14ac:dyDescent="0.3">
      <c r="A82" t="str">
        <f>Report!B60</f>
        <v>chisqr_z</v>
      </c>
      <c r="B82" t="s">
        <v>91</v>
      </c>
      <c r="C82" t="s">
        <v>71</v>
      </c>
      <c r="D82">
        <f>Report!E60</f>
        <v>3.7160000000000002</v>
      </c>
      <c r="E82">
        <f>Report!G60</f>
        <v>0.28399999999999997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Smith</dc:creator>
  <cp:lastModifiedBy>Jeff Smith</cp:lastModifiedBy>
  <dcterms:created xsi:type="dcterms:W3CDTF">2026-04-14T20:08:02Z</dcterms:created>
  <dcterms:modified xsi:type="dcterms:W3CDTF">2026-04-14T21:40:34Z</dcterms:modified>
</cp:coreProperties>
</file>